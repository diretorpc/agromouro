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8_{A3529E0F-F360-45CE-9525-701C528DB854}" xr6:coauthVersionLast="47" xr6:coauthVersionMax="47" xr10:uidLastSave="{00000000-0000-0000-0000-000000000000}"/>
  <bookViews>
    <workbookView xWindow="-108" yWindow="-108" windowWidth="23256" windowHeight="12456" xr2:uid="{36712DFB-8B62-44BC-9883-569154A3D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<sst xmlns="http://schemas.openxmlformats.org/spreadsheetml/2006/main" count="43" uniqueCount="32">
  <si>
    <t xml:space="preserve">BANCO </t>
  </si>
  <si>
    <t>AG</t>
  </si>
  <si>
    <t>CC</t>
  </si>
  <si>
    <t>DIA</t>
  </si>
  <si>
    <t>MÊS</t>
  </si>
  <si>
    <t>ANO</t>
  </si>
  <si>
    <t>DEPENDÊNCIA ORIGEM</t>
  </si>
  <si>
    <t>HISTÓRICO</t>
  </si>
  <si>
    <t>CUSTO/RECEITA</t>
  </si>
  <si>
    <t>TRANSAÇÃO</t>
  </si>
  <si>
    <t>Nº DOCUMENTO</t>
  </si>
  <si>
    <t>VALOR</t>
  </si>
  <si>
    <t>C/D</t>
  </si>
  <si>
    <t>OBS</t>
  </si>
  <si>
    <t>TERCEIRO</t>
  </si>
  <si>
    <t>IMÓVEL</t>
  </si>
  <si>
    <t>INSCRIÇÃO IMÓVEL</t>
  </si>
  <si>
    <t xml:space="preserve"> Pix</t>
  </si>
  <si>
    <t>PIX RECEB.OUTRA IF Recebimento Pix CANAPOLIS ACUCAR E ETANOL S A 28.144.326 0001-01</t>
  </si>
  <si>
    <t>Receita</t>
  </si>
  <si>
    <t>TJ</t>
  </si>
  <si>
    <t>Arrendamento Tejuco</t>
  </si>
  <si>
    <t>2477-5</t>
  </si>
  <si>
    <t>Compra com Cartão - 01/08 18:33 SUP LS GUARATO</t>
  </si>
  <si>
    <t>Custo</t>
  </si>
  <si>
    <t>Supermercado</t>
  </si>
  <si>
    <t>MG</t>
  </si>
  <si>
    <t>TED Transf.Eletr.Disponiv - 237 3857 04154855840 MARCIA DIB MOURO</t>
  </si>
  <si>
    <t>diversos</t>
  </si>
  <si>
    <t>Casa Alexandre</t>
  </si>
  <si>
    <t>IT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</si>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</sst>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99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44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44" fontId="3" fillId="0" borderId="1" xfId="1" applyFont="1" applyBorder="1"/>
    <xf numFmtId="44" fontId="4" fillId="0" borderId="1" xfId="1" applyFont="1" applyBorder="1"/>
    <xf numFmtId="1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4" fontId="4" fillId="0" borderId="1" xfId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742F604D-EA0C-44D0-996D-D0ED5368F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68C1-9FA6-496A-80DB-DDD6C94D7A2C}">
  <dimension ref="A1:R230"/>
  <sheetViews>
    <sheetView tabSelected="1" workbookViewId="0">
      <selection activeCell="F8" sqref="F8"/>
    </sheetView>
  </sheetViews>
  <sheetFormatPr defaultRowHeight="14.4" x14ac:dyDescent="0.3"/>
  <cols>
    <col min="7" max="7" width="12.88671875" customWidth="1"/>
    <col min="8" max="8" width="70" customWidth="1"/>
    <col min="9" max="9" width="14.44140625" bestFit="1" customWidth="1"/>
    <col min="10" max="10" width="12.88671875" bestFit="1" customWidth="1"/>
    <col min="11" max="11" width="14.6640625" bestFit="1" customWidth="1"/>
    <col min="12" max="12" width="12.88671875" bestFit="1" customWidth="1"/>
    <col min="15" max="15" width="18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1" t="s">
        <v>12</v>
      </c>
      <c r="N1" s="1" t="s">
        <v>2</v>
      </c>
      <c r="O1" s="1" t="s">
        <v>13</v>
      </c>
      <c r="P1" s="1" t="s">
        <v>14</v>
      </c>
      <c r="Q1" s="1" t="s">
        <v>15</v>
      </c>
      <c r="R1" s="2" t="s">
        <v>16</v>
      </c>
    </row>
    <row r="2" spans="1:18" x14ac:dyDescent="0.3">
      <c r="A2" s="5" t="s">
        <v>30</v>
      </c>
      <c r="B2" s="6" t="s">
        <v>31</v>
      </c>
      <c r="C2" s="6" t="s">
        <v>31</v>
      </c>
      <c r="D2" s="7">
        <v>1</v>
      </c>
      <c r="E2" s="11">
        <v>8</v>
      </c>
      <c r="F2" s="11">
        <v>2026</v>
      </c>
      <c r="G2" s="8" t="s">
        <v>17</v>
      </c>
      <c r="H2" s="7" t="s">
        <v>18</v>
      </c>
      <c r="I2" s="6" t="s">
        <v>19</v>
      </c>
      <c r="J2" s="6" t="s">
        <v>19</v>
      </c>
      <c r="K2" s="6"/>
      <c r="L2" s="9">
        <v>7944.1</v>
      </c>
      <c r="M2" s="6" t="str">
        <f>IF(L2&gt;0,"C","D")</f>
        <v>C</v>
      </c>
      <c r="N2" s="6" t="s">
        <v>20</v>
      </c>
      <c r="O2" s="7" t="s">
        <v>21</v>
      </c>
      <c r="P2" s="7"/>
      <c r="Q2" s="7"/>
      <c r="R2" s="7"/>
    </row>
    <row r="3" spans="1:18" x14ac:dyDescent="0.3">
      <c r="A3" s="5"/>
      <c r="B3" s="6"/>
      <c r="C3" s="6"/>
      <c r="D3" s="7">
        <v>1</v>
      </c>
      <c r="E3" s="11">
        <v>8</v>
      </c>
      <c r="F3" s="11">
        <v>2026</v>
      </c>
      <c r="G3" s="8" t="s">
        <v>17</v>
      </c>
      <c r="H3" s="7" t="s">
        <v>18</v>
      </c>
      <c r="I3" s="6" t="s">
        <v>19</v>
      </c>
      <c r="J3" s="6" t="s">
        <v>19</v>
      </c>
      <c r="K3" s="6"/>
      <c r="L3" s="9">
        <v>9352.1299999999992</v>
      </c>
      <c r="M3" s="6" t="str">
        <f t="shared" ref="M3:M5" si="0">IF(L3&gt;0,"C","D")</f>
        <v>C</v>
      </c>
      <c r="N3" s="6" t="s">
        <v>20</v>
      </c>
      <c r="O3" s="7" t="s">
        <v>21</v>
      </c>
      <c r="P3" s="7"/>
      <c r="Q3" s="7"/>
      <c r="R3" s="7"/>
    </row>
    <row r="4" spans="1:18" x14ac:dyDescent="0.3">
      <c r="A4" s="5"/>
      <c r="B4" s="6"/>
      <c r="C4" s="6"/>
      <c r="D4" s="11">
        <v>1</v>
      </c>
      <c r="E4" s="11">
        <v>8</v>
      </c>
      <c r="F4" s="11">
        <v>2026</v>
      </c>
      <c r="G4" s="12" t="s">
        <v>22</v>
      </c>
      <c r="H4" s="13" t="s">
        <v>23</v>
      </c>
      <c r="I4" s="6" t="s">
        <v>24</v>
      </c>
      <c r="J4" s="6" t="s">
        <v>25</v>
      </c>
      <c r="K4" s="6">
        <v>166790</v>
      </c>
      <c r="L4" s="14">
        <v>-720.15</v>
      </c>
      <c r="M4" s="6" t="str">
        <f t="shared" si="0"/>
        <v>D</v>
      </c>
      <c r="N4" s="15" t="s">
        <v>26</v>
      </c>
      <c r="O4" s="7"/>
      <c r="P4" s="5"/>
      <c r="Q4" s="7"/>
      <c r="R4" s="7"/>
    </row>
    <row r="5" spans="1:18" x14ac:dyDescent="0.3">
      <c r="A5" s="5"/>
      <c r="B5" s="6"/>
      <c r="C5" s="6"/>
      <c r="D5" s="7">
        <v>1</v>
      </c>
      <c r="E5" s="7">
        <v>8</v>
      </c>
      <c r="F5" s="11">
        <v>2026</v>
      </c>
      <c r="G5" s="8"/>
      <c r="H5" s="7" t="s">
        <v>27</v>
      </c>
      <c r="I5" s="6" t="s">
        <v>24</v>
      </c>
      <c r="J5" s="6" t="s">
        <v>28</v>
      </c>
      <c r="K5" s="6">
        <v>80101</v>
      </c>
      <c r="L5" s="10">
        <v>-25000</v>
      </c>
      <c r="M5" s="6" t="str">
        <f t="shared" si="0"/>
        <v>D</v>
      </c>
      <c r="N5" s="6" t="s">
        <v>26</v>
      </c>
      <c r="O5" s="7" t="s">
        <v>29</v>
      </c>
      <c r="P5" s="7"/>
      <c r="Q5" s="7"/>
      <c r="R5" s="7"/>
    </row>
    <row r="6" spans="1:18" x14ac:dyDescent="0.3">
      <c r="A6" s="5"/>
      <c r="B6" s="6"/>
      <c r="C6" s="6"/>
      <c r="D6" s="7"/>
      <c r="E6" s="7"/>
      <c r="F6" s="7"/>
      <c r="G6" s="8"/>
      <c r="H6" s="7"/>
      <c r="I6" s="6"/>
      <c r="J6" s="6"/>
      <c r="K6" s="6"/>
      <c r="L6" s="10"/>
      <c r="M6" s="6"/>
      <c r="N6" s="15"/>
      <c r="O6" s="7"/>
      <c r="P6" s="7"/>
      <c r="Q6" s="7"/>
      <c r="R6" s="7"/>
    </row>
    <row r="7" spans="1:18" x14ac:dyDescent="0.3">
      <c r="A7" s="5"/>
      <c r="B7" s="6"/>
      <c r="C7" s="6"/>
      <c r="D7" s="7"/>
      <c r="E7" s="7"/>
      <c r="F7" s="7"/>
      <c r="G7" s="8"/>
      <c r="H7" s="7"/>
      <c r="I7" s="6"/>
      <c r="J7" s="6"/>
      <c r="K7" s="6"/>
      <c r="L7" s="10"/>
      <c r="M7" s="6"/>
      <c r="N7" s="15"/>
      <c r="O7" s="7"/>
      <c r="P7" s="7"/>
      <c r="Q7" s="7"/>
      <c r="R7" s="7"/>
    </row>
    <row r="8" spans="1:18" x14ac:dyDescent="0.3">
      <c r="A8" s="5"/>
      <c r="B8" s="6"/>
      <c r="C8" s="6"/>
      <c r="D8" s="7"/>
      <c r="E8" s="7"/>
      <c r="F8" s="7"/>
      <c r="G8" s="8"/>
      <c r="H8" s="7"/>
      <c r="I8" s="6"/>
      <c r="J8" s="6"/>
      <c r="K8" s="6"/>
      <c r="L8" s="10"/>
      <c r="M8" s="6"/>
      <c r="N8" s="15"/>
      <c r="O8" s="7"/>
      <c r="P8" s="7"/>
      <c r="Q8" s="7"/>
      <c r="R8" s="7"/>
    </row>
    <row r="9" spans="1:18" x14ac:dyDescent="0.3">
      <c r="A9" s="5"/>
      <c r="B9" s="6"/>
      <c r="C9" s="6"/>
      <c r="D9" s="7"/>
      <c r="E9" s="7"/>
      <c r="F9" s="7"/>
      <c r="G9" s="8"/>
      <c r="H9" s="7"/>
      <c r="I9" s="6"/>
      <c r="J9" s="6"/>
      <c r="K9" s="6"/>
      <c r="L9" s="10"/>
      <c r="M9" s="6"/>
      <c r="N9" s="15"/>
      <c r="O9" s="7"/>
      <c r="P9" s="7"/>
      <c r="Q9" s="7"/>
      <c r="R9" s="7"/>
    </row>
    <row r="10" spans="1:18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Mouro</dc:creator>
  <cp:lastModifiedBy>Gustavo Mouro</cp:lastModifiedBy>
  <dcterms:created xsi:type="dcterms:W3CDTF">2026-09-01T16:56:01Z</dcterms:created>
  <dcterms:modified xsi:type="dcterms:W3CDTF">2026-09-01T16:58:21Z</dcterms:modified>
</cp:coreProperties>
</file>